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7A07BB22-910F-405E-BD9B-18480FC46195}" xr6:coauthVersionLast="47" xr6:coauthVersionMax="47" xr10:uidLastSave="{00000000-0000-0000-0000-000000000000}"/>
  <bookViews>
    <workbookView xWindow="-110" yWindow="-110" windowWidth="19420" windowHeight="11020" xr2:uid="{73B22CE7-F7EC-482F-BC94-F7806A4C01CF}"/>
  </bookViews>
  <sheets>
    <sheet name="案件⑦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F18" i="2"/>
  <c r="F26" i="2" s="1"/>
  <c r="B18" i="2"/>
  <c r="B6" i="2"/>
  <c r="U3" i="2" s="1"/>
  <c r="Y3" i="2"/>
  <c r="W3" i="2"/>
  <c r="O18" i="2" l="1"/>
  <c r="O26" i="2" l="1"/>
  <c r="L18" i="2"/>
  <c r="R18" i="2" l="1"/>
  <c r="R26" i="2" s="1"/>
  <c r="L26" i="2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<sst xmlns="http://schemas.openxmlformats.org/spreadsheetml/2006/main" count="30" uniqueCount="25">
  <si>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</si>
  <si>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</si>
  <si>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</si>
  <si>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</si>
  <si>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</si>
  <si>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AIプロジェクト</t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</si>
  <si>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</si>
  <si>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</si>
  <si>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</si>
  <si>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</si>
  <si>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</si>
  <si>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</si>
  <si>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</si>
  <si>
    <t>数量</t>
  </si>
  <si>
    <t>価格</t>
  </si>
  <si>
    <t>消費税</t>
  </si>
  <si>
    <t>合計</t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</si>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</sst>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38" fontId="10" fillId="2" borderId="11" xfId="1" applyFont="1" applyFill="1" applyBorder="1" applyAlignment="1">
      <alignment horizontal="center" vertical="center"/>
    </xf>
    <xf numFmtId="38" fontId="10" fillId="2" borderId="9" xfId="1" applyFont="1" applyFill="1" applyBorder="1" applyAlignment="1">
      <alignment horizontal="center" vertical="center"/>
    </xf>
    <xf numFmtId="38" fontId="10" fillId="2" borderId="10" xfId="1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38" fontId="10" fillId="2" borderId="15" xfId="1" applyFont="1" applyFill="1" applyBorder="1" applyAlignment="1">
      <alignment horizontal="center" vertical="center"/>
    </xf>
    <xf numFmtId="38" fontId="10" fillId="2" borderId="1" xfId="1" applyFont="1" applyFill="1" applyBorder="1" applyAlignment="1">
      <alignment horizontal="center" vertical="center"/>
    </xf>
    <xf numFmtId="38" fontId="10" fillId="2" borderId="14" xfId="1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0" fillId="0" borderId="18" xfId="1" applyFont="1" applyBorder="1">
      <alignment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D07C3950-0BA1-48BE-820B-7E901BEEDC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8035F-9E51-455D-894D-9E6679BB5B39}">
  <sheetPr codeName="Sheet9"/>
  <dimension ref="B2:AK30"/>
  <sheetViews>
    <sheetView showGridLines="0" tabSelected="1" workbookViewId="0">
      <selection activeCell="R13" sqref="R13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7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株式会社G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ht="18.75" customHeight="1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5" t="s">
        <v>17</v>
      </c>
      <c r="W16" s="36"/>
      <c r="X16" s="36"/>
      <c r="Y16" s="37"/>
      <c r="Z16" s="35" t="s">
        <v>18</v>
      </c>
      <c r="AA16" s="36"/>
      <c r="AB16" s="36"/>
      <c r="AC16" s="37"/>
      <c r="AD16" s="35" t="s">
        <v>19</v>
      </c>
      <c r="AE16" s="36"/>
      <c r="AF16" s="36"/>
      <c r="AG16" s="37"/>
      <c r="AH16" s="35" t="s">
        <v>20</v>
      </c>
      <c r="AI16" s="36"/>
      <c r="AJ16" s="36"/>
      <c r="AK16" s="38"/>
    </row>
    <row r="17" spans="2:37" ht="19.5" customHeight="1" thickBot="1" x14ac:dyDescent="0.6">
      <c r="B17" s="39"/>
      <c r="C17" s="40"/>
      <c r="D17" s="40"/>
      <c r="E17" s="41"/>
      <c r="F17" s="42"/>
      <c r="G17" s="43"/>
      <c r="H17" s="44"/>
      <c r="I17" s="42"/>
      <c r="J17" s="43"/>
      <c r="K17" s="44"/>
      <c r="L17" s="42"/>
      <c r="M17" s="43"/>
      <c r="N17" s="44"/>
      <c r="O17" s="42"/>
      <c r="P17" s="43"/>
      <c r="Q17" s="44"/>
      <c r="R17" s="42"/>
      <c r="S17" s="43"/>
      <c r="T17" s="43"/>
      <c r="U17" s="44"/>
      <c r="V17" s="45"/>
      <c r="W17" s="46"/>
      <c r="X17" s="46"/>
      <c r="Y17" s="47"/>
      <c r="Z17" s="45"/>
      <c r="AA17" s="46"/>
      <c r="AB17" s="46"/>
      <c r="AC17" s="47"/>
      <c r="AD17" s="45"/>
      <c r="AE17" s="46"/>
      <c r="AF17" s="46"/>
      <c r="AG17" s="47"/>
      <c r="AH17" s="45"/>
      <c r="AI17" s="46"/>
      <c r="AJ17" s="46"/>
      <c r="AK17" s="48"/>
    </row>
    <row r="18" spans="2:37" x14ac:dyDescent="0.15">
      <c r="B18" s="49" t="str">
        <f>D9</f>
        <v>AIプロジェクト</v>
      </c>
      <c r="C18" s="50"/>
      <c r="D18" s="50"/>
      <c r="E18" s="51"/>
      <c r="F18" s="52">
        <f>VLOOKUP($D$9,[1]データ!$A$1:$C$8,3,FALSE)</f>
        <v>160000</v>
      </c>
      <c r="G18" s="53"/>
      <c r="H18" s="54"/>
      <c r="I18" s="52">
        <v>1</v>
      </c>
      <c r="J18" s="53"/>
      <c r="K18" s="54"/>
      <c r="L18" s="52">
        <f>F18-O18</f>
        <v>144000</v>
      </c>
      <c r="M18" s="53"/>
      <c r="N18" s="54"/>
      <c r="O18" s="52">
        <f>F18*0.1</f>
        <v>16000</v>
      </c>
      <c r="P18" s="53"/>
      <c r="Q18" s="54"/>
      <c r="R18" s="52">
        <f>L18+O18</f>
        <v>160000</v>
      </c>
      <c r="S18" s="53"/>
      <c r="T18" s="53"/>
      <c r="U18" s="54"/>
      <c r="V18" s="55"/>
      <c r="W18" s="56"/>
      <c r="X18" s="56"/>
      <c r="Y18" s="57"/>
      <c r="Z18" s="55"/>
      <c r="AA18" s="56"/>
      <c r="AB18" s="56"/>
      <c r="AC18" s="57"/>
      <c r="AD18" s="55"/>
      <c r="AE18" s="56"/>
      <c r="AF18" s="56"/>
      <c r="AG18" s="57"/>
      <c r="AH18" s="55"/>
      <c r="AI18" s="56"/>
      <c r="AJ18" s="56"/>
      <c r="AK18" s="58"/>
    </row>
    <row r="19" spans="2:37" x14ac:dyDescent="0.15">
      <c r="B19" s="59"/>
      <c r="C19" s="60"/>
      <c r="D19" s="60"/>
      <c r="E19" s="61"/>
      <c r="F19" s="62"/>
      <c r="G19" s="63"/>
      <c r="H19" s="64"/>
      <c r="I19" s="62"/>
      <c r="J19" s="63"/>
      <c r="K19" s="64"/>
      <c r="L19" s="62"/>
      <c r="M19" s="63"/>
      <c r="N19" s="64"/>
      <c r="O19" s="62"/>
      <c r="P19" s="63"/>
      <c r="Q19" s="64"/>
      <c r="R19" s="62"/>
      <c r="S19" s="63"/>
      <c r="T19" s="63"/>
      <c r="U19" s="64"/>
      <c r="V19" s="65"/>
      <c r="W19" s="66"/>
      <c r="X19" s="66"/>
      <c r="Y19" s="67"/>
      <c r="Z19" s="65"/>
      <c r="AA19" s="66"/>
      <c r="AB19" s="66"/>
      <c r="AC19" s="67"/>
      <c r="AD19" s="65"/>
      <c r="AE19" s="66"/>
      <c r="AF19" s="66"/>
      <c r="AG19" s="67"/>
      <c r="AH19" s="65"/>
      <c r="AI19" s="66"/>
      <c r="AJ19" s="66"/>
      <c r="AK19" s="68"/>
    </row>
    <row r="20" spans="2:37" x14ac:dyDescent="0.15">
      <c r="B20" s="59"/>
      <c r="C20" s="60"/>
      <c r="D20" s="60"/>
      <c r="E20" s="61"/>
      <c r="F20" s="62"/>
      <c r="G20" s="63"/>
      <c r="H20" s="64"/>
      <c r="I20" s="62"/>
      <c r="J20" s="63"/>
      <c r="K20" s="64"/>
      <c r="L20" s="62"/>
      <c r="M20" s="63"/>
      <c r="N20" s="64"/>
      <c r="O20" s="62"/>
      <c r="P20" s="63"/>
      <c r="Q20" s="64"/>
      <c r="R20" s="62"/>
      <c r="S20" s="63"/>
      <c r="T20" s="63"/>
      <c r="U20" s="64"/>
      <c r="V20" s="65"/>
      <c r="W20" s="66"/>
      <c r="X20" s="66"/>
      <c r="Y20" s="67"/>
      <c r="Z20" s="65"/>
      <c r="AA20" s="66"/>
      <c r="AB20" s="66"/>
      <c r="AC20" s="67"/>
      <c r="AD20" s="65"/>
      <c r="AE20" s="66"/>
      <c r="AF20" s="66"/>
      <c r="AG20" s="67"/>
      <c r="AH20" s="65"/>
      <c r="AI20" s="66"/>
      <c r="AJ20" s="66"/>
      <c r="AK20" s="68"/>
    </row>
    <row r="21" spans="2:37" x14ac:dyDescent="0.15">
      <c r="B21" s="59"/>
      <c r="C21" s="60"/>
      <c r="D21" s="60"/>
      <c r="E21" s="61"/>
      <c r="F21" s="62"/>
      <c r="G21" s="63"/>
      <c r="H21" s="64"/>
      <c r="I21" s="62"/>
      <c r="J21" s="63"/>
      <c r="K21" s="64"/>
      <c r="L21" s="62"/>
      <c r="M21" s="63"/>
      <c r="N21" s="64"/>
      <c r="O21" s="62"/>
      <c r="P21" s="63"/>
      <c r="Q21" s="64"/>
      <c r="R21" s="62"/>
      <c r="S21" s="63"/>
      <c r="T21" s="63"/>
      <c r="U21" s="64"/>
      <c r="V21" s="65"/>
      <c r="W21" s="66"/>
      <c r="X21" s="66"/>
      <c r="Y21" s="67"/>
      <c r="Z21" s="65"/>
      <c r="AA21" s="66"/>
      <c r="AB21" s="66"/>
      <c r="AC21" s="67"/>
      <c r="AD21" s="65"/>
      <c r="AE21" s="66"/>
      <c r="AF21" s="66"/>
      <c r="AG21" s="67"/>
      <c r="AH21" s="65"/>
      <c r="AI21" s="66"/>
      <c r="AJ21" s="66"/>
      <c r="AK21" s="68"/>
    </row>
    <row r="22" spans="2:37" x14ac:dyDescent="0.15">
      <c r="B22" s="59"/>
      <c r="C22" s="60"/>
      <c r="D22" s="60"/>
      <c r="E22" s="61"/>
      <c r="F22" s="62"/>
      <c r="G22" s="63"/>
      <c r="H22" s="64"/>
      <c r="I22" s="62"/>
      <c r="J22" s="63"/>
      <c r="K22" s="64"/>
      <c r="L22" s="62"/>
      <c r="M22" s="63"/>
      <c r="N22" s="64"/>
      <c r="O22" s="62"/>
      <c r="P22" s="63"/>
      <c r="Q22" s="64"/>
      <c r="R22" s="62"/>
      <c r="S22" s="63"/>
      <c r="T22" s="63"/>
      <c r="U22" s="64"/>
      <c r="V22" s="65"/>
      <c r="W22" s="66"/>
      <c r="X22" s="66"/>
      <c r="Y22" s="67"/>
      <c r="Z22" s="65"/>
      <c r="AA22" s="66"/>
      <c r="AB22" s="66"/>
      <c r="AC22" s="67"/>
      <c r="AD22" s="65"/>
      <c r="AE22" s="66"/>
      <c r="AF22" s="66"/>
      <c r="AG22" s="67"/>
      <c r="AH22" s="65"/>
      <c r="AI22" s="66"/>
      <c r="AJ22" s="66"/>
      <c r="AK22" s="68"/>
    </row>
    <row r="23" spans="2:37" x14ac:dyDescent="0.15">
      <c r="B23" s="59"/>
      <c r="C23" s="60"/>
      <c r="D23" s="60"/>
      <c r="E23" s="61"/>
      <c r="F23" s="62"/>
      <c r="G23" s="63"/>
      <c r="H23" s="64"/>
      <c r="I23" s="62"/>
      <c r="J23" s="63"/>
      <c r="K23" s="64"/>
      <c r="L23" s="62"/>
      <c r="M23" s="63"/>
      <c r="N23" s="64"/>
      <c r="O23" s="62"/>
      <c r="P23" s="63"/>
      <c r="Q23" s="64"/>
      <c r="R23" s="62"/>
      <c r="S23" s="63"/>
      <c r="T23" s="63"/>
      <c r="U23" s="64"/>
      <c r="V23" s="65"/>
      <c r="W23" s="66"/>
      <c r="X23" s="66"/>
      <c r="Y23" s="67"/>
      <c r="Z23" s="65"/>
      <c r="AA23" s="66"/>
      <c r="AB23" s="66"/>
      <c r="AC23" s="67"/>
      <c r="AD23" s="65"/>
      <c r="AE23" s="66"/>
      <c r="AF23" s="66"/>
      <c r="AG23" s="67"/>
      <c r="AH23" s="65"/>
      <c r="AI23" s="66"/>
      <c r="AJ23" s="66"/>
      <c r="AK23" s="68"/>
    </row>
    <row r="24" spans="2:37" x14ac:dyDescent="0.15">
      <c r="B24" s="59"/>
      <c r="C24" s="60"/>
      <c r="D24" s="60"/>
      <c r="E24" s="61"/>
      <c r="F24" s="62"/>
      <c r="G24" s="63"/>
      <c r="H24" s="64"/>
      <c r="I24" s="62"/>
      <c r="J24" s="63"/>
      <c r="K24" s="64"/>
      <c r="L24" s="62"/>
      <c r="M24" s="63"/>
      <c r="N24" s="69"/>
      <c r="O24" s="62"/>
      <c r="P24" s="63"/>
      <c r="Q24" s="64"/>
      <c r="R24" s="62"/>
      <c r="S24" s="63"/>
      <c r="T24" s="63"/>
      <c r="U24" s="64"/>
      <c r="V24" s="65"/>
      <c r="W24" s="66"/>
      <c r="X24" s="66"/>
      <c r="Y24" s="67"/>
      <c r="Z24" s="65"/>
      <c r="AA24" s="66"/>
      <c r="AB24" s="66"/>
      <c r="AC24" s="67"/>
      <c r="AD24" s="65"/>
      <c r="AE24" s="66"/>
      <c r="AF24" s="66"/>
      <c r="AG24" s="67"/>
      <c r="AH24" s="65"/>
      <c r="AI24" s="66"/>
      <c r="AJ24" s="66"/>
      <c r="AK24" s="68"/>
    </row>
    <row r="25" spans="2:37" ht="18.5" thickBot="1" x14ac:dyDescent="0.2">
      <c r="B25" s="70"/>
      <c r="C25" s="71"/>
      <c r="D25" s="71"/>
      <c r="E25" s="72"/>
      <c r="F25" s="73"/>
      <c r="G25" s="74"/>
      <c r="H25" s="75"/>
      <c r="I25" s="73"/>
      <c r="J25" s="74"/>
      <c r="K25" s="75"/>
      <c r="L25" s="73"/>
      <c r="M25" s="74"/>
      <c r="N25" s="69"/>
      <c r="O25" s="73"/>
      <c r="P25" s="74"/>
      <c r="Q25" s="75"/>
      <c r="R25" s="73"/>
      <c r="S25" s="74"/>
      <c r="T25" s="74"/>
      <c r="U25" s="75"/>
      <c r="V25" s="76"/>
      <c r="W25" s="77"/>
      <c r="X25" s="77"/>
      <c r="Y25" s="78"/>
      <c r="Z25" s="76"/>
      <c r="AA25" s="77"/>
      <c r="AB25" s="77"/>
      <c r="AC25" s="78"/>
      <c r="AD25" s="76"/>
      <c r="AE25" s="77"/>
      <c r="AF25" s="77"/>
      <c r="AG25" s="78"/>
      <c r="AH25" s="76"/>
      <c r="AI25" s="77"/>
      <c r="AJ25" s="77"/>
      <c r="AK25" s="79"/>
    </row>
    <row r="26" spans="2:37" x14ac:dyDescent="0.55000000000000004">
      <c r="B26" s="80" t="s">
        <v>21</v>
      </c>
      <c r="C26" s="81"/>
      <c r="D26" s="81"/>
      <c r="E26" s="82"/>
      <c r="F26" s="52">
        <f>SUM(F18:H25)</f>
        <v>160000</v>
      </c>
      <c r="G26" s="53"/>
      <c r="H26" s="54"/>
      <c r="I26" s="52">
        <f>SUM(I18:K25)</f>
        <v>1</v>
      </c>
      <c r="J26" s="53"/>
      <c r="K26" s="54"/>
      <c r="L26" s="52">
        <f>SUM(L18:N25)</f>
        <v>144000</v>
      </c>
      <c r="M26" s="53"/>
      <c r="N26" s="54"/>
      <c r="O26" s="52">
        <f>SUM(O18:Q25)</f>
        <v>16000</v>
      </c>
      <c r="P26" s="53"/>
      <c r="Q26" s="54"/>
      <c r="R26" s="52">
        <f>SUM(R18:U25)</f>
        <v>160000</v>
      </c>
      <c r="S26" s="53"/>
      <c r="T26" s="53"/>
      <c r="U26" s="54"/>
      <c r="V26" s="55"/>
      <c r="W26" s="56"/>
      <c r="X26" s="56"/>
      <c r="Y26" s="57"/>
      <c r="Z26" s="55"/>
      <c r="AA26" s="56"/>
      <c r="AB26" s="56"/>
      <c r="AC26" s="57"/>
      <c r="AD26" s="55"/>
      <c r="AE26" s="56"/>
      <c r="AF26" s="56"/>
      <c r="AG26" s="57"/>
      <c r="AH26" s="55"/>
      <c r="AI26" s="56"/>
      <c r="AJ26" s="56"/>
      <c r="AK26" s="58"/>
    </row>
    <row r="27" spans="2:37" ht="18.5" thickBot="1" x14ac:dyDescent="0.6">
      <c r="B27" s="83"/>
      <c r="C27" s="84"/>
      <c r="D27" s="84"/>
      <c r="E27" s="85"/>
      <c r="F27" s="73"/>
      <c r="G27" s="74"/>
      <c r="H27" s="75"/>
      <c r="I27" s="73"/>
      <c r="J27" s="74"/>
      <c r="K27" s="75"/>
      <c r="L27" s="73"/>
      <c r="M27" s="74"/>
      <c r="N27" s="75"/>
      <c r="O27" s="73"/>
      <c r="P27" s="74"/>
      <c r="Q27" s="75"/>
      <c r="R27" s="73"/>
      <c r="S27" s="74"/>
      <c r="T27" s="74"/>
      <c r="U27" s="75"/>
      <c r="V27" s="76"/>
      <c r="W27" s="77"/>
      <c r="X27" s="77"/>
      <c r="Y27" s="78"/>
      <c r="Z27" s="76"/>
      <c r="AA27" s="77"/>
      <c r="AB27" s="77"/>
      <c r="AC27" s="78"/>
      <c r="AD27" s="76"/>
      <c r="AE27" s="77"/>
      <c r="AF27" s="77"/>
      <c r="AG27" s="78"/>
      <c r="AH27" s="76"/>
      <c r="AI27" s="77"/>
      <c r="AJ27" s="77"/>
      <c r="AK27" s="79"/>
    </row>
    <row r="28" spans="2:37" ht="18.75" customHeight="1" x14ac:dyDescent="0.55000000000000004"/>
    <row r="29" spans="2:37" x14ac:dyDescent="0.55000000000000004">
      <c r="B29" s="86" t="s">
        <v>22</v>
      </c>
      <c r="C29" t="s">
        <v>23</v>
      </c>
    </row>
    <row r="30" spans="2:37" x14ac:dyDescent="0.55000000000000004">
      <c r="B30" s="86" t="s">
        <v>22</v>
      </c>
      <c r="C30" t="s">
        <v>24</v>
      </c>
    </row>
  </sheetData>
  <mergeCells count="107">
    <mergeCell ref="R26:U27"/>
    <mergeCell ref="V26:Y27"/>
    <mergeCell ref="Z26:AC27"/>
    <mergeCell ref="AD26:AG27"/>
    <mergeCell ref="AH26:AK27"/>
    <mergeCell ref="R25:U25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4:U24"/>
    <mergeCell ref="V24:Y24"/>
    <mergeCell ref="Z24:AC24"/>
    <mergeCell ref="AD24:AG24"/>
    <mergeCell ref="AH24:AK24"/>
    <mergeCell ref="B25:E25"/>
    <mergeCell ref="F25:H25"/>
    <mergeCell ref="I25:K25"/>
    <mergeCell ref="L25:M25"/>
    <mergeCell ref="O25:Q25"/>
    <mergeCell ref="R23:U23"/>
    <mergeCell ref="V23:Y23"/>
    <mergeCell ref="Z23:AC23"/>
    <mergeCell ref="AD23:AG23"/>
    <mergeCell ref="AH23:AK23"/>
    <mergeCell ref="B24:E24"/>
    <mergeCell ref="F24:H24"/>
    <mergeCell ref="I24:K24"/>
    <mergeCell ref="L24:M24"/>
    <mergeCell ref="O24:Q24"/>
    <mergeCell ref="R22:U22"/>
    <mergeCell ref="V22:Y22"/>
    <mergeCell ref="Z22:AC22"/>
    <mergeCell ref="AD22:AG22"/>
    <mergeCell ref="AH22:AK22"/>
    <mergeCell ref="B23:E23"/>
    <mergeCell ref="F23:H23"/>
    <mergeCell ref="I23:K23"/>
    <mergeCell ref="L23:N23"/>
    <mergeCell ref="O23:Q23"/>
    <mergeCell ref="R21:U21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0:U20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O20:Q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19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2022-08-12T00:47:51Z</dcterms:created>
  <dcterms:modified xsi:type="dcterms:W3CDTF">2022-08-12T00:48:32Z</dcterms:modified>
</cp:coreProperties>
</file>