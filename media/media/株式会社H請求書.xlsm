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7ee0cbf7343e5d/ドキュメント/"/>
    </mc:Choice>
  </mc:AlternateContent>
  <xr:revisionPtr revIDLastSave="0" documentId="8_{DF9DE09F-2C83-45FD-8AB6-8A3A277684C7}" xr6:coauthVersionLast="47" xr6:coauthVersionMax="47" xr10:uidLastSave="{00000000-0000-0000-0000-000000000000}"/>
  <bookViews>
    <workbookView xWindow="-110" yWindow="-110" windowWidth="19420" windowHeight="11020" xr2:uid="{78A95608-C0C1-466E-A91B-E9ED554E6FE2}"/>
  </bookViews>
  <sheets>
    <sheet name="案件⑦" sheetId="2" r:id="rId1"/>
    <sheet name="Sheet1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2" l="1"/>
  <c r="F26" i="2"/>
  <c r="B18" i="2"/>
  <c r="B6" i="2"/>
  <c r="U3" i="2" s="1"/>
  <c r="Y3" i="2"/>
  <c r="W3" i="2"/>
  <c r="O18" i="2" l="1"/>
  <c r="O26" i="2" s="1"/>
  <c r="L18" i="2" l="1"/>
  <c r="R18" i="2" l="1"/>
  <c r="R26" i="2" s="1"/>
  <c r="L26" i="2"/>
</calcChain>
</file>

<file path=xl/sharedStrings.xml><?xml version="1.0" encoding="utf-8"?>
<sst xmlns="http://schemas.openxmlformats.org/spreadsheetml/2006/main" count="30" uniqueCount="25">
  <si>
    <t>請求書</t>
    <rPh sb="0" eb="3">
      <t>セイキュウショ</t>
    </rPh>
    <phoneticPr fontId="2"/>
  </si>
  <si>
    <t>請求番号</t>
    <rPh sb="0" eb="4">
      <t>セイキュウバンゴウ</t>
    </rPh>
    <phoneticPr fontId="2"/>
  </si>
  <si>
    <t>-</t>
    <phoneticPr fontId="2"/>
  </si>
  <si>
    <t>御中</t>
    <rPh sb="0" eb="2">
      <t>オンチュウ</t>
    </rPh>
    <phoneticPr fontId="2"/>
  </si>
  <si>
    <t>案件名</t>
    <rPh sb="0" eb="3">
      <t>アンケンメイ</t>
    </rPh>
    <phoneticPr fontId="2"/>
  </si>
  <si>
    <t>作業期間</t>
    <rPh sb="0" eb="4">
      <t>サギョウキカン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</si>
  <si>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</si>
  <si>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</si>
  <si>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日</t>
    <rPh sb="0" eb="1">
      <t>ニチ</t>
    </rPh>
    <phoneticPr fontId="2"/>
  </si>
  <si>
    <t>～</t>
    <phoneticPr fontId="2"/>
  </si>
  <si>
    <t>名称</t>
    <rPh sb="0" eb="2">
      <t>メイショウ</t>
    </rPh>
    <phoneticPr fontId="2"/>
  </si>
  <si>
    <t>単価</t>
  </si>
  <si>
    <t>数量</t>
  </si>
  <si>
    <t>価格</t>
  </si>
  <si>
    <t>消費税</t>
  </si>
  <si>
    <t>合計</t>
  </si>
  <si>
    <t>基準時間</t>
    <rPh sb="0" eb="4">
      <t>キジュンジカン</t>
    </rPh>
    <phoneticPr fontId="2"/>
  </si>
  <si>
    <t>超過単価</t>
    <rPh sb="0" eb="4">
      <t>チョウカタンカ</t>
    </rPh>
    <phoneticPr fontId="2"/>
  </si>
  <si>
    <t>控除単価</t>
    <rPh sb="0" eb="4">
      <t>コウジョタンカ</t>
    </rPh>
    <phoneticPr fontId="2"/>
  </si>
  <si>
    <t>時間単位</t>
    <rPh sb="0" eb="2">
      <t>ジカン</t>
    </rPh>
    <rPh sb="2" eb="4">
      <t>タンイ</t>
    </rPh>
    <phoneticPr fontId="2"/>
  </si>
  <si>
    <t>内訳合計</t>
    <rPh sb="0" eb="4">
      <t>ウチワケゴウケイ</t>
    </rPh>
    <phoneticPr fontId="2"/>
  </si>
  <si>
    <t>■</t>
    <phoneticPr fontId="2"/>
  </si>
  <si>
    <t>支払期日</t>
    <rPh sb="0" eb="4">
      <t>シハライキジツ</t>
    </rPh>
    <phoneticPr fontId="2"/>
  </si>
  <si>
    <t>お振込み口座</t>
    <rPh sb="1" eb="3">
      <t>フリコ</t>
    </rPh>
    <rPh sb="4" eb="6">
      <t>コウザ</t>
    </rPh>
    <phoneticPr fontId="2"/>
  </si>
  <si>
    <t>請求書システム製作業務</t>
    <rPh sb="0" eb="3">
      <t>セイキュウショ</t>
    </rPh>
    <rPh sb="7" eb="9">
      <t>セイサク</t>
    </rPh>
    <rPh sb="9" eb="11">
      <t>ギョウム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</si>
</sst>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2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2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6"/>
      <name val="ＭＳ 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0"/>
  </cellStyleXfs>
  <cellXfs count="8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>
      <alignment vertical="center"/>
    </xf>
    <xf numFmtId="0" fontId="13" fillId="2" borderId="8" xfId="2" applyFont="1" applyFill="1" applyBorder="1" applyAlignment="1">
      <alignment horizontal="center" vertical="center"/>
    </xf>
    <xf numFmtId="0" fontId="13" fillId="2" borderId="9" xfId="2" applyFont="1" applyFill="1" applyBorder="1" applyAlignment="1">
      <alignment horizontal="center" vertical="center"/>
    </xf>
    <xf numFmtId="0" fontId="13" fillId="2" borderId="10" xfId="2" applyFont="1" applyFill="1" applyBorder="1" applyAlignment="1">
      <alignment horizontal="center" vertical="center"/>
    </xf>
    <xf numFmtId="38" fontId="10" fillId="2" borderId="11" xfId="1" applyFont="1" applyFill="1" applyBorder="1" applyAlignment="1">
      <alignment horizontal="center" vertical="center"/>
    </xf>
    <xf numFmtId="38" fontId="10" fillId="2" borderId="9" xfId="1" applyFont="1" applyFill="1" applyBorder="1" applyAlignment="1">
      <alignment horizontal="center" vertical="center"/>
    </xf>
    <xf numFmtId="38" fontId="10" fillId="2" borderId="10" xfId="1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3" fillId="2" borderId="13" xfId="2" applyFont="1" applyFill="1" applyBorder="1" applyAlignment="1">
      <alignment horizontal="center" vertical="center"/>
    </xf>
    <xf numFmtId="0" fontId="13" fillId="2" borderId="1" xfId="2" applyFont="1" applyFill="1" applyBorder="1" applyAlignment="1">
      <alignment horizontal="center" vertical="center"/>
    </xf>
    <xf numFmtId="0" fontId="13" fillId="2" borderId="14" xfId="2" applyFont="1" applyFill="1" applyBorder="1" applyAlignment="1">
      <alignment horizontal="center" vertical="center"/>
    </xf>
    <xf numFmtId="38" fontId="10" fillId="2" borderId="15" xfId="1" applyFont="1" applyFill="1" applyBorder="1" applyAlignment="1">
      <alignment horizontal="center" vertical="center"/>
    </xf>
    <xf numFmtId="38" fontId="10" fillId="2" borderId="1" xfId="1" applyFont="1" applyFill="1" applyBorder="1" applyAlignment="1">
      <alignment horizontal="center" vertical="center"/>
    </xf>
    <xf numFmtId="38" fontId="10" fillId="2" borderId="14" xfId="1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38" fontId="0" fillId="0" borderId="11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38" fontId="0" fillId="0" borderId="10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4" fillId="0" borderId="17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38" fontId="0" fillId="0" borderId="19" xfId="1" applyFont="1" applyBorder="1" applyAlignment="1">
      <alignment horizontal="center" vertical="center"/>
    </xf>
    <xf numFmtId="38" fontId="0" fillId="0" borderId="0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38" fontId="0" fillId="0" borderId="18" xfId="1" applyFont="1" applyBorder="1">
      <alignment vertical="center"/>
    </xf>
    <xf numFmtId="0" fontId="14" fillId="0" borderId="13" xfId="2" applyFont="1" applyBorder="1" applyAlignment="1">
      <alignment horizontal="center"/>
    </xf>
    <xf numFmtId="0" fontId="14" fillId="0" borderId="1" xfId="2" applyFont="1" applyBorder="1" applyAlignment="1">
      <alignment horizontal="center"/>
    </xf>
    <xf numFmtId="0" fontId="14" fillId="0" borderId="14" xfId="2" applyFont="1" applyBorder="1" applyAlignment="1">
      <alignment horizontal="center"/>
    </xf>
    <xf numFmtId="38" fontId="0" fillId="0" borderId="15" xfId="1" applyFont="1" applyBorder="1" applyAlignment="1">
      <alignment horizontal="center" vertical="center"/>
    </xf>
    <xf numFmtId="38" fontId="0" fillId="0" borderId="1" xfId="1" applyFont="1" applyBorder="1" applyAlignment="1">
      <alignment horizontal="center" vertical="center"/>
    </xf>
    <xf numFmtId="38" fontId="0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10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3">
    <cellStyle name="桁区切り" xfId="1" builtinId="6"/>
    <cellStyle name="標準" xfId="0" builtinId="0"/>
    <cellStyle name="標準 2" xfId="2" xr:uid="{3687BFB0-D700-41A8-AB98-8EB35307A8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Downloads\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"/>
      <sheetName val="請求書"/>
      <sheetName val="案件①"/>
      <sheetName val="案件②"/>
      <sheetName val="案件③"/>
      <sheetName val="案件④"/>
      <sheetName val="案件⑥"/>
      <sheetName val="案件⑦"/>
    </sheetNames>
    <sheetDataSet>
      <sheetData sheetId="0">
        <row r="1">
          <cell r="A1" t="str">
            <v>案件名</v>
          </cell>
          <cell r="B1" t="str">
            <v>会社名</v>
          </cell>
          <cell r="E1" t="str">
            <v>会社名</v>
          </cell>
          <cell r="F1" t="str">
            <v>会社ID</v>
          </cell>
        </row>
        <row r="2">
          <cell r="A2" t="str">
            <v>社内の資料作成</v>
          </cell>
          <cell r="B2" t="str">
            <v>株式会社A</v>
          </cell>
          <cell r="E2" t="str">
            <v>株式会社A</v>
          </cell>
          <cell r="F2">
            <v>1</v>
          </cell>
        </row>
        <row r="3">
          <cell r="A3" t="str">
            <v>カスタマーサービス業務</v>
          </cell>
          <cell r="B3" t="str">
            <v>株式会社B</v>
          </cell>
          <cell r="E3" t="str">
            <v>株式会社B</v>
          </cell>
          <cell r="F3">
            <v>2</v>
          </cell>
        </row>
        <row r="4">
          <cell r="A4" t="str">
            <v>PMOサポート</v>
          </cell>
          <cell r="B4" t="str">
            <v>株式会社C</v>
          </cell>
          <cell r="E4" t="str">
            <v>株式会社C</v>
          </cell>
          <cell r="F4">
            <v>3</v>
          </cell>
        </row>
        <row r="5">
          <cell r="A5" t="str">
            <v>【未経験OK】PMOサポート</v>
          </cell>
          <cell r="B5" t="str">
            <v>株式会社D</v>
          </cell>
          <cell r="E5" t="str">
            <v>株式会社D</v>
          </cell>
          <cell r="F5">
            <v>4</v>
          </cell>
        </row>
        <row r="6">
          <cell r="A6" t="str">
            <v>【VBA】社内システム作成</v>
          </cell>
          <cell r="B6" t="str">
            <v>株式会社E</v>
          </cell>
          <cell r="E6" t="str">
            <v>株式会社E</v>
          </cell>
          <cell r="F6">
            <v>5</v>
          </cell>
        </row>
        <row r="7">
          <cell r="A7" t="str">
            <v>金融システム製作</v>
          </cell>
          <cell r="B7" t="str">
            <v>株式会社F</v>
          </cell>
          <cell r="E7" t="str">
            <v>株式会社F</v>
          </cell>
          <cell r="F7">
            <v>6</v>
          </cell>
        </row>
        <row r="8">
          <cell r="A8" t="str">
            <v>AIプロジェクト</v>
          </cell>
          <cell r="B8" t="str">
            <v>株式会社G</v>
          </cell>
          <cell r="E8" t="str">
            <v>株式会社G</v>
          </cell>
          <cell r="F8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08C96-5BB4-4A41-9747-F6047B56F596}">
  <sheetPr codeName="Sheet9"/>
  <dimension ref="B2:AK30"/>
  <sheetViews>
    <sheetView showGridLines="0" tabSelected="1" topLeftCell="A16" workbookViewId="0">
      <selection activeCell="F22" sqref="F22:H22"/>
    </sheetView>
  </sheetViews>
  <sheetFormatPr defaultRowHeight="18" x14ac:dyDescent="0.55000000000000004"/>
  <cols>
    <col min="5" max="5" width="3.33203125" bestFit="1" customWidth="1"/>
    <col min="7" max="7" width="3.33203125" bestFit="1" customWidth="1"/>
    <col min="9" max="9" width="3.33203125" bestFit="1" customWidth="1"/>
    <col min="10" max="10" width="12.5" bestFit="1" customWidth="1"/>
    <col min="12" max="12" width="3.33203125" bestFit="1" customWidth="1"/>
    <col min="14" max="14" width="3.33203125" bestFit="1" customWidth="1"/>
    <col min="16" max="16" width="3.33203125" bestFit="1" customWidth="1"/>
    <col min="20" max="20" width="12.5" bestFit="1" customWidth="1"/>
    <col min="21" max="21" width="2.5" bestFit="1" customWidth="1"/>
    <col min="22" max="22" width="2.33203125" bestFit="1" customWidth="1"/>
    <col min="23" max="23" width="3.33203125" bestFit="1" customWidth="1"/>
    <col min="24" max="24" width="2.33203125" bestFit="1" customWidth="1"/>
    <col min="25" max="25" width="3.33203125" bestFit="1" customWidth="1"/>
  </cols>
  <sheetData>
    <row r="2" spans="2:37" ht="45" x14ac:dyDescent="0.55000000000000004">
      <c r="F2" s="1"/>
      <c r="G2" s="1"/>
      <c r="H2" s="1"/>
      <c r="I2" s="1"/>
      <c r="M2" s="2" t="s">
        <v>0</v>
      </c>
      <c r="N2" s="3"/>
      <c r="O2" s="3"/>
      <c r="P2" s="3"/>
      <c r="Q2" s="3"/>
      <c r="R2" s="3"/>
    </row>
    <row r="3" spans="2:37" ht="27" thickBot="1" x14ac:dyDescent="0.6">
      <c r="F3" s="4"/>
      <c r="G3" s="4"/>
      <c r="H3" s="4"/>
      <c r="T3" s="5" t="s">
        <v>1</v>
      </c>
      <c r="U3" s="6" t="e">
        <f>VLOOKUP($B$6,[1]データ!$E$1:$F$15,2,FALSE)</f>
        <v>#N/A</v>
      </c>
      <c r="V3" s="7" t="s">
        <v>2</v>
      </c>
      <c r="W3" s="8">
        <f ca="1">MONTH(TODAY())</f>
        <v>8</v>
      </c>
      <c r="X3" s="7" t="s">
        <v>2</v>
      </c>
      <c r="Y3" s="8">
        <f ca="1">DAY(TODAY())</f>
        <v>12</v>
      </c>
      <c r="Z3" s="9"/>
    </row>
    <row r="5" spans="2:37" x14ac:dyDescent="0.55000000000000004">
      <c r="B5" s="10"/>
      <c r="C5" s="10"/>
      <c r="D5" s="10"/>
      <c r="E5" s="10"/>
    </row>
    <row r="6" spans="2:37" ht="30" customHeight="1" thickBot="1" x14ac:dyDescent="0.6">
      <c r="B6" s="11" t="e">
        <f>VLOOKUP($D$9,[1]データ!$A$1:$B$15,2,FALSE)</f>
        <v>#N/A</v>
      </c>
      <c r="C6" s="11"/>
      <c r="D6" s="11"/>
      <c r="E6" s="11"/>
      <c r="F6" s="11"/>
      <c r="G6" s="11"/>
      <c r="H6" s="11"/>
      <c r="I6" s="12" t="s">
        <v>3</v>
      </c>
      <c r="J6" s="13"/>
    </row>
    <row r="9" spans="2:37" x14ac:dyDescent="0.55000000000000004">
      <c r="B9" s="14" t="s">
        <v>4</v>
      </c>
      <c r="C9" s="15"/>
      <c r="D9" s="16" t="s">
        <v>24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</row>
    <row r="10" spans="2:37" x14ac:dyDescent="0.55000000000000004">
      <c r="B10" s="19"/>
      <c r="C10" s="20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</row>
    <row r="11" spans="2:37" x14ac:dyDescent="0.55000000000000004">
      <c r="B11" s="14" t="s">
        <v>5</v>
      </c>
      <c r="C11" s="15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/>
    </row>
    <row r="12" spans="2:37" x14ac:dyDescent="0.55000000000000004">
      <c r="B12" s="19"/>
      <c r="C12" s="20"/>
      <c r="D12" s="26"/>
      <c r="E12" s="26" t="s">
        <v>6</v>
      </c>
      <c r="F12" s="26"/>
      <c r="G12" s="26" t="s">
        <v>7</v>
      </c>
      <c r="H12" s="26"/>
      <c r="I12" s="26" t="s">
        <v>8</v>
      </c>
      <c r="J12" s="27" t="s">
        <v>9</v>
      </c>
      <c r="K12" s="26"/>
      <c r="L12" s="26" t="s">
        <v>6</v>
      </c>
      <c r="M12" s="26"/>
      <c r="N12" s="26" t="s">
        <v>7</v>
      </c>
      <c r="O12" s="26"/>
      <c r="P12" s="28" t="s">
        <v>8</v>
      </c>
    </row>
    <row r="15" spans="2:37" ht="18.5" thickBot="1" x14ac:dyDescent="0.6"/>
    <row r="16" spans="2:37" ht="18.75" customHeight="1" x14ac:dyDescent="0.55000000000000004">
      <c r="B16" s="29" t="s">
        <v>10</v>
      </c>
      <c r="C16" s="30"/>
      <c r="D16" s="30"/>
      <c r="E16" s="31"/>
      <c r="F16" s="32" t="s">
        <v>11</v>
      </c>
      <c r="G16" s="33"/>
      <c r="H16" s="34"/>
      <c r="I16" s="32" t="s">
        <v>12</v>
      </c>
      <c r="J16" s="33"/>
      <c r="K16" s="34"/>
      <c r="L16" s="32" t="s">
        <v>13</v>
      </c>
      <c r="M16" s="33"/>
      <c r="N16" s="34"/>
      <c r="O16" s="32" t="s">
        <v>14</v>
      </c>
      <c r="P16" s="33"/>
      <c r="Q16" s="34"/>
      <c r="R16" s="32" t="s">
        <v>15</v>
      </c>
      <c r="S16" s="33"/>
      <c r="T16" s="33"/>
      <c r="U16" s="34"/>
      <c r="V16" s="35" t="s">
        <v>16</v>
      </c>
      <c r="W16" s="36"/>
      <c r="X16" s="36"/>
      <c r="Y16" s="37"/>
      <c r="Z16" s="35" t="s">
        <v>17</v>
      </c>
      <c r="AA16" s="36"/>
      <c r="AB16" s="36"/>
      <c r="AC16" s="37"/>
      <c r="AD16" s="35" t="s">
        <v>18</v>
      </c>
      <c r="AE16" s="36"/>
      <c r="AF16" s="36"/>
      <c r="AG16" s="37"/>
      <c r="AH16" s="35" t="s">
        <v>19</v>
      </c>
      <c r="AI16" s="36"/>
      <c r="AJ16" s="36"/>
      <c r="AK16" s="38"/>
    </row>
    <row r="17" spans="2:37" ht="19.5" customHeight="1" thickBot="1" x14ac:dyDescent="0.6">
      <c r="B17" s="39"/>
      <c r="C17" s="40"/>
      <c r="D17" s="40"/>
      <c r="E17" s="41"/>
      <c r="F17" s="42"/>
      <c r="G17" s="43"/>
      <c r="H17" s="44"/>
      <c r="I17" s="42"/>
      <c r="J17" s="43"/>
      <c r="K17" s="44"/>
      <c r="L17" s="42"/>
      <c r="M17" s="43"/>
      <c r="N17" s="44"/>
      <c r="O17" s="42"/>
      <c r="P17" s="43"/>
      <c r="Q17" s="44"/>
      <c r="R17" s="42"/>
      <c r="S17" s="43"/>
      <c r="T17" s="43"/>
      <c r="U17" s="44"/>
      <c r="V17" s="45"/>
      <c r="W17" s="46"/>
      <c r="X17" s="46"/>
      <c r="Y17" s="47"/>
      <c r="Z17" s="45"/>
      <c r="AA17" s="46"/>
      <c r="AB17" s="46"/>
      <c r="AC17" s="47"/>
      <c r="AD17" s="45"/>
      <c r="AE17" s="46"/>
      <c r="AF17" s="46"/>
      <c r="AG17" s="47"/>
      <c r="AH17" s="45"/>
      <c r="AI17" s="46"/>
      <c r="AJ17" s="46"/>
      <c r="AK17" s="48"/>
    </row>
    <row r="18" spans="2:37" x14ac:dyDescent="0.15">
      <c r="B18" s="49" t="str">
        <f>D9</f>
        <v>請求書システム製作業務</v>
      </c>
      <c r="C18" s="50"/>
      <c r="D18" s="50"/>
      <c r="E18" s="51"/>
      <c r="F18" s="52">
        <v>500000</v>
      </c>
      <c r="G18" s="53"/>
      <c r="H18" s="54"/>
      <c r="I18" s="52">
        <v>1</v>
      </c>
      <c r="J18" s="53"/>
      <c r="K18" s="54"/>
      <c r="L18" s="52">
        <f>F18-O18</f>
        <v>450000</v>
      </c>
      <c r="M18" s="53"/>
      <c r="N18" s="54"/>
      <c r="O18" s="52">
        <f>F18*0.1</f>
        <v>50000</v>
      </c>
      <c r="P18" s="53"/>
      <c r="Q18" s="54"/>
      <c r="R18" s="52">
        <f>L18+O18</f>
        <v>500000</v>
      </c>
      <c r="S18" s="53"/>
      <c r="T18" s="53"/>
      <c r="U18" s="54"/>
      <c r="V18" s="55"/>
      <c r="W18" s="56"/>
      <c r="X18" s="56"/>
      <c r="Y18" s="57"/>
      <c r="Z18" s="55"/>
      <c r="AA18" s="56"/>
      <c r="AB18" s="56"/>
      <c r="AC18" s="57"/>
      <c r="AD18" s="55"/>
      <c r="AE18" s="56"/>
      <c r="AF18" s="56"/>
      <c r="AG18" s="57"/>
      <c r="AH18" s="55"/>
      <c r="AI18" s="56"/>
      <c r="AJ18" s="56"/>
      <c r="AK18" s="58"/>
    </row>
    <row r="19" spans="2:37" x14ac:dyDescent="0.15">
      <c r="B19" s="59"/>
      <c r="C19" s="60"/>
      <c r="D19" s="60"/>
      <c r="E19" s="61"/>
      <c r="F19" s="62"/>
      <c r="G19" s="63"/>
      <c r="H19" s="64"/>
      <c r="I19" s="62"/>
      <c r="J19" s="63"/>
      <c r="K19" s="64"/>
      <c r="L19" s="62"/>
      <c r="M19" s="63"/>
      <c r="N19" s="64"/>
      <c r="O19" s="62"/>
      <c r="P19" s="63"/>
      <c r="Q19" s="64"/>
      <c r="R19" s="62"/>
      <c r="S19" s="63"/>
      <c r="T19" s="63"/>
      <c r="U19" s="64"/>
      <c r="V19" s="65"/>
      <c r="W19" s="66"/>
      <c r="X19" s="66"/>
      <c r="Y19" s="67"/>
      <c r="Z19" s="65"/>
      <c r="AA19" s="66"/>
      <c r="AB19" s="66"/>
      <c r="AC19" s="67"/>
      <c r="AD19" s="65"/>
      <c r="AE19" s="66"/>
      <c r="AF19" s="66"/>
      <c r="AG19" s="67"/>
      <c r="AH19" s="65"/>
      <c r="AI19" s="66"/>
      <c r="AJ19" s="66"/>
      <c r="AK19" s="68"/>
    </row>
    <row r="20" spans="2:37" x14ac:dyDescent="0.15">
      <c r="B20" s="59"/>
      <c r="C20" s="60"/>
      <c r="D20" s="60"/>
      <c r="E20" s="61"/>
      <c r="F20" s="62"/>
      <c r="G20" s="63"/>
      <c r="H20" s="64"/>
      <c r="I20" s="62"/>
      <c r="J20" s="63"/>
      <c r="K20" s="64"/>
      <c r="L20" s="62"/>
      <c r="M20" s="63"/>
      <c r="N20" s="64"/>
      <c r="O20" s="62"/>
      <c r="P20" s="63"/>
      <c r="Q20" s="64"/>
      <c r="R20" s="62"/>
      <c r="S20" s="63"/>
      <c r="T20" s="63"/>
      <c r="U20" s="64"/>
      <c r="V20" s="65"/>
      <c r="W20" s="66"/>
      <c r="X20" s="66"/>
      <c r="Y20" s="67"/>
      <c r="Z20" s="65"/>
      <c r="AA20" s="66"/>
      <c r="AB20" s="66"/>
      <c r="AC20" s="67"/>
      <c r="AD20" s="65"/>
      <c r="AE20" s="66"/>
      <c r="AF20" s="66"/>
      <c r="AG20" s="67"/>
      <c r="AH20" s="65"/>
      <c r="AI20" s="66"/>
      <c r="AJ20" s="66"/>
      <c r="AK20" s="68"/>
    </row>
    <row r="21" spans="2:37" x14ac:dyDescent="0.15">
      <c r="B21" s="59"/>
      <c r="C21" s="60"/>
      <c r="D21" s="60"/>
      <c r="E21" s="61"/>
      <c r="F21" s="62"/>
      <c r="G21" s="63"/>
      <c r="H21" s="64"/>
      <c r="I21" s="62"/>
      <c r="J21" s="63"/>
      <c r="K21" s="64"/>
      <c r="L21" s="62"/>
      <c r="M21" s="63"/>
      <c r="N21" s="64"/>
      <c r="O21" s="62"/>
      <c r="P21" s="63"/>
      <c r="Q21" s="64"/>
      <c r="R21" s="62"/>
      <c r="S21" s="63"/>
      <c r="T21" s="63"/>
      <c r="U21" s="64"/>
      <c r="V21" s="65"/>
      <c r="W21" s="66"/>
      <c r="X21" s="66"/>
      <c r="Y21" s="67"/>
      <c r="Z21" s="65"/>
      <c r="AA21" s="66"/>
      <c r="AB21" s="66"/>
      <c r="AC21" s="67"/>
      <c r="AD21" s="65"/>
      <c r="AE21" s="66"/>
      <c r="AF21" s="66"/>
      <c r="AG21" s="67"/>
      <c r="AH21" s="65"/>
      <c r="AI21" s="66"/>
      <c r="AJ21" s="66"/>
      <c r="AK21" s="68"/>
    </row>
    <row r="22" spans="2:37" x14ac:dyDescent="0.15">
      <c r="B22" s="59"/>
      <c r="C22" s="60"/>
      <c r="D22" s="60"/>
      <c r="E22" s="61"/>
      <c r="F22" s="62"/>
      <c r="G22" s="63"/>
      <c r="H22" s="64"/>
      <c r="I22" s="62"/>
      <c r="J22" s="63"/>
      <c r="K22" s="64"/>
      <c r="L22" s="62"/>
      <c r="M22" s="63"/>
      <c r="N22" s="64"/>
      <c r="O22" s="62"/>
      <c r="P22" s="63"/>
      <c r="Q22" s="64"/>
      <c r="R22" s="62"/>
      <c r="S22" s="63"/>
      <c r="T22" s="63"/>
      <c r="U22" s="64"/>
      <c r="V22" s="65"/>
      <c r="W22" s="66"/>
      <c r="X22" s="66"/>
      <c r="Y22" s="67"/>
      <c r="Z22" s="65"/>
      <c r="AA22" s="66"/>
      <c r="AB22" s="66"/>
      <c r="AC22" s="67"/>
      <c r="AD22" s="65"/>
      <c r="AE22" s="66"/>
      <c r="AF22" s="66"/>
      <c r="AG22" s="67"/>
      <c r="AH22" s="65"/>
      <c r="AI22" s="66"/>
      <c r="AJ22" s="66"/>
      <c r="AK22" s="68"/>
    </row>
    <row r="23" spans="2:37" x14ac:dyDescent="0.15">
      <c r="B23" s="59"/>
      <c r="C23" s="60"/>
      <c r="D23" s="60"/>
      <c r="E23" s="61"/>
      <c r="F23" s="62"/>
      <c r="G23" s="63"/>
      <c r="H23" s="64"/>
      <c r="I23" s="62"/>
      <c r="J23" s="63"/>
      <c r="K23" s="64"/>
      <c r="L23" s="62"/>
      <c r="M23" s="63"/>
      <c r="N23" s="64"/>
      <c r="O23" s="62"/>
      <c r="P23" s="63"/>
      <c r="Q23" s="64"/>
      <c r="R23" s="62"/>
      <c r="S23" s="63"/>
      <c r="T23" s="63"/>
      <c r="U23" s="64"/>
      <c r="V23" s="65"/>
      <c r="W23" s="66"/>
      <c r="X23" s="66"/>
      <c r="Y23" s="67"/>
      <c r="Z23" s="65"/>
      <c r="AA23" s="66"/>
      <c r="AB23" s="66"/>
      <c r="AC23" s="67"/>
      <c r="AD23" s="65"/>
      <c r="AE23" s="66"/>
      <c r="AF23" s="66"/>
      <c r="AG23" s="67"/>
      <c r="AH23" s="65"/>
      <c r="AI23" s="66"/>
      <c r="AJ23" s="66"/>
      <c r="AK23" s="68"/>
    </row>
    <row r="24" spans="2:37" x14ac:dyDescent="0.15">
      <c r="B24" s="59"/>
      <c r="C24" s="60"/>
      <c r="D24" s="60"/>
      <c r="E24" s="61"/>
      <c r="F24" s="62"/>
      <c r="G24" s="63"/>
      <c r="H24" s="64"/>
      <c r="I24" s="62"/>
      <c r="J24" s="63"/>
      <c r="K24" s="64"/>
      <c r="L24" s="62"/>
      <c r="M24" s="63"/>
      <c r="N24" s="69"/>
      <c r="O24" s="62"/>
      <c r="P24" s="63"/>
      <c r="Q24" s="64"/>
      <c r="R24" s="62"/>
      <c r="S24" s="63"/>
      <c r="T24" s="63"/>
      <c r="U24" s="64"/>
      <c r="V24" s="65"/>
      <c r="W24" s="66"/>
      <c r="X24" s="66"/>
      <c r="Y24" s="67"/>
      <c r="Z24" s="65"/>
      <c r="AA24" s="66"/>
      <c r="AB24" s="66"/>
      <c r="AC24" s="67"/>
      <c r="AD24" s="65"/>
      <c r="AE24" s="66"/>
      <c r="AF24" s="66"/>
      <c r="AG24" s="67"/>
      <c r="AH24" s="65"/>
      <c r="AI24" s="66"/>
      <c r="AJ24" s="66"/>
      <c r="AK24" s="68"/>
    </row>
    <row r="25" spans="2:37" ht="18.5" thickBot="1" x14ac:dyDescent="0.2">
      <c r="B25" s="70"/>
      <c r="C25" s="71"/>
      <c r="D25" s="71"/>
      <c r="E25" s="72"/>
      <c r="F25" s="73"/>
      <c r="G25" s="74"/>
      <c r="H25" s="75"/>
      <c r="I25" s="73"/>
      <c r="J25" s="74"/>
      <c r="K25" s="75"/>
      <c r="L25" s="73"/>
      <c r="M25" s="74"/>
      <c r="N25" s="69"/>
      <c r="O25" s="73"/>
      <c r="P25" s="74"/>
      <c r="Q25" s="75"/>
      <c r="R25" s="73"/>
      <c r="S25" s="74"/>
      <c r="T25" s="74"/>
      <c r="U25" s="75"/>
      <c r="V25" s="76"/>
      <c r="W25" s="77"/>
      <c r="X25" s="77"/>
      <c r="Y25" s="78"/>
      <c r="Z25" s="76"/>
      <c r="AA25" s="77"/>
      <c r="AB25" s="77"/>
      <c r="AC25" s="78"/>
      <c r="AD25" s="76"/>
      <c r="AE25" s="77"/>
      <c r="AF25" s="77"/>
      <c r="AG25" s="78"/>
      <c r="AH25" s="76"/>
      <c r="AI25" s="77"/>
      <c r="AJ25" s="77"/>
      <c r="AK25" s="79"/>
    </row>
    <row r="26" spans="2:37" x14ac:dyDescent="0.55000000000000004">
      <c r="B26" s="80" t="s">
        <v>20</v>
      </c>
      <c r="C26" s="81"/>
      <c r="D26" s="81"/>
      <c r="E26" s="82"/>
      <c r="F26" s="52">
        <f>SUM(F18:H25)</f>
        <v>500000</v>
      </c>
      <c r="G26" s="53"/>
      <c r="H26" s="54"/>
      <c r="I26" s="52">
        <f>SUM(I18:K25)</f>
        <v>1</v>
      </c>
      <c r="J26" s="53"/>
      <c r="K26" s="54"/>
      <c r="L26" s="52">
        <f>SUM(L18:N25)</f>
        <v>450000</v>
      </c>
      <c r="M26" s="53"/>
      <c r="N26" s="54"/>
      <c r="O26" s="52">
        <f>SUM(O18:Q25)</f>
        <v>50000</v>
      </c>
      <c r="P26" s="53"/>
      <c r="Q26" s="54"/>
      <c r="R26" s="52">
        <f>SUM(R18:U25)</f>
        <v>500000</v>
      </c>
      <c r="S26" s="53"/>
      <c r="T26" s="53"/>
      <c r="U26" s="54"/>
      <c r="V26" s="55"/>
      <c r="W26" s="56"/>
      <c r="X26" s="56"/>
      <c r="Y26" s="57"/>
      <c r="Z26" s="55"/>
      <c r="AA26" s="56"/>
      <c r="AB26" s="56"/>
      <c r="AC26" s="57"/>
      <c r="AD26" s="55"/>
      <c r="AE26" s="56"/>
      <c r="AF26" s="56"/>
      <c r="AG26" s="57"/>
      <c r="AH26" s="55"/>
      <c r="AI26" s="56"/>
      <c r="AJ26" s="56"/>
      <c r="AK26" s="58"/>
    </row>
    <row r="27" spans="2:37" ht="18.5" thickBot="1" x14ac:dyDescent="0.6">
      <c r="B27" s="83"/>
      <c r="C27" s="84"/>
      <c r="D27" s="84"/>
      <c r="E27" s="85"/>
      <c r="F27" s="73"/>
      <c r="G27" s="74"/>
      <c r="H27" s="75"/>
      <c r="I27" s="73"/>
      <c r="J27" s="74"/>
      <c r="K27" s="75"/>
      <c r="L27" s="73"/>
      <c r="M27" s="74"/>
      <c r="N27" s="75"/>
      <c r="O27" s="73"/>
      <c r="P27" s="74"/>
      <c r="Q27" s="75"/>
      <c r="R27" s="73"/>
      <c r="S27" s="74"/>
      <c r="T27" s="74"/>
      <c r="U27" s="75"/>
      <c r="V27" s="76"/>
      <c r="W27" s="77"/>
      <c r="X27" s="77"/>
      <c r="Y27" s="78"/>
      <c r="Z27" s="76"/>
      <c r="AA27" s="77"/>
      <c r="AB27" s="77"/>
      <c r="AC27" s="78"/>
      <c r="AD27" s="76"/>
      <c r="AE27" s="77"/>
      <c r="AF27" s="77"/>
      <c r="AG27" s="78"/>
      <c r="AH27" s="76"/>
      <c r="AI27" s="77"/>
      <c r="AJ27" s="77"/>
      <c r="AK27" s="79"/>
    </row>
    <row r="28" spans="2:37" ht="18.75" customHeight="1" x14ac:dyDescent="0.55000000000000004"/>
    <row r="29" spans="2:37" x14ac:dyDescent="0.55000000000000004">
      <c r="B29" s="86" t="s">
        <v>21</v>
      </c>
      <c r="C29" t="s">
        <v>22</v>
      </c>
    </row>
    <row r="30" spans="2:37" x14ac:dyDescent="0.55000000000000004">
      <c r="B30" s="86" t="s">
        <v>21</v>
      </c>
      <c r="C30" t="s">
        <v>23</v>
      </c>
    </row>
  </sheetData>
  <mergeCells count="107">
    <mergeCell ref="R26:U27"/>
    <mergeCell ref="V26:Y27"/>
    <mergeCell ref="Z26:AC27"/>
    <mergeCell ref="AD26:AG27"/>
    <mergeCell ref="AH26:AK27"/>
    <mergeCell ref="R25:U25"/>
    <mergeCell ref="V25:Y25"/>
    <mergeCell ref="Z25:AC25"/>
    <mergeCell ref="AD25:AG25"/>
    <mergeCell ref="AH25:AK25"/>
    <mergeCell ref="B26:E27"/>
    <mergeCell ref="F26:H27"/>
    <mergeCell ref="I26:K27"/>
    <mergeCell ref="L26:N27"/>
    <mergeCell ref="O26:Q27"/>
    <mergeCell ref="R24:U24"/>
    <mergeCell ref="V24:Y24"/>
    <mergeCell ref="Z24:AC24"/>
    <mergeCell ref="AD24:AG24"/>
    <mergeCell ref="AH24:AK24"/>
    <mergeCell ref="B25:E25"/>
    <mergeCell ref="F25:H25"/>
    <mergeCell ref="I25:K25"/>
    <mergeCell ref="L25:M25"/>
    <mergeCell ref="O25:Q25"/>
    <mergeCell ref="R23:U23"/>
    <mergeCell ref="V23:Y23"/>
    <mergeCell ref="Z23:AC23"/>
    <mergeCell ref="AD23:AG23"/>
    <mergeCell ref="AH23:AK23"/>
    <mergeCell ref="B24:E24"/>
    <mergeCell ref="F24:H24"/>
    <mergeCell ref="I24:K24"/>
    <mergeCell ref="L24:M24"/>
    <mergeCell ref="O24:Q24"/>
    <mergeCell ref="R22:U22"/>
    <mergeCell ref="V22:Y22"/>
    <mergeCell ref="Z22:AC22"/>
    <mergeCell ref="AD22:AG22"/>
    <mergeCell ref="AH22:AK22"/>
    <mergeCell ref="B23:E23"/>
    <mergeCell ref="F23:H23"/>
    <mergeCell ref="I23:K23"/>
    <mergeCell ref="L23:N23"/>
    <mergeCell ref="O23:Q23"/>
    <mergeCell ref="R21:U21"/>
    <mergeCell ref="V21:Y21"/>
    <mergeCell ref="Z21:AC21"/>
    <mergeCell ref="AD21:AG21"/>
    <mergeCell ref="AH21:AK21"/>
    <mergeCell ref="B22:E22"/>
    <mergeCell ref="F22:H22"/>
    <mergeCell ref="I22:K22"/>
    <mergeCell ref="L22:N22"/>
    <mergeCell ref="O22:Q22"/>
    <mergeCell ref="R20:U20"/>
    <mergeCell ref="V20:Y20"/>
    <mergeCell ref="Z20:AC20"/>
    <mergeCell ref="AD20:AG20"/>
    <mergeCell ref="AH20:AK20"/>
    <mergeCell ref="B21:E21"/>
    <mergeCell ref="F21:H21"/>
    <mergeCell ref="I21:K21"/>
    <mergeCell ref="L21:N21"/>
    <mergeCell ref="O21:Q21"/>
    <mergeCell ref="R19:U19"/>
    <mergeCell ref="V19:Y19"/>
    <mergeCell ref="Z19:AC19"/>
    <mergeCell ref="AD19:AG19"/>
    <mergeCell ref="AH19:AK19"/>
    <mergeCell ref="B20:E20"/>
    <mergeCell ref="F20:H20"/>
    <mergeCell ref="I20:K20"/>
    <mergeCell ref="L20:N20"/>
    <mergeCell ref="O20:Q20"/>
    <mergeCell ref="R18:U18"/>
    <mergeCell ref="V18:Y18"/>
    <mergeCell ref="Z18:AC18"/>
    <mergeCell ref="AD18:AG18"/>
    <mergeCell ref="AH18:AK18"/>
    <mergeCell ref="B19:E19"/>
    <mergeCell ref="F19:H19"/>
    <mergeCell ref="I19:K19"/>
    <mergeCell ref="L19:N19"/>
    <mergeCell ref="O19:Q19"/>
    <mergeCell ref="R16:U17"/>
    <mergeCell ref="V16:Y17"/>
    <mergeCell ref="Z16:AC17"/>
    <mergeCell ref="AD16:AG17"/>
    <mergeCell ref="AH16:AK17"/>
    <mergeCell ref="B18:E18"/>
    <mergeCell ref="F18:H18"/>
    <mergeCell ref="I18:K18"/>
    <mergeCell ref="L18:N18"/>
    <mergeCell ref="O18:Q18"/>
    <mergeCell ref="B11:C12"/>
    <mergeCell ref="B16:E17"/>
    <mergeCell ref="F16:H17"/>
    <mergeCell ref="I16:K17"/>
    <mergeCell ref="L16:N17"/>
    <mergeCell ref="O16:Q17"/>
    <mergeCell ref="F2:I2"/>
    <mergeCell ref="M2:R2"/>
    <mergeCell ref="B6:H6"/>
    <mergeCell ref="I6:J6"/>
    <mergeCell ref="B9:C10"/>
    <mergeCell ref="D9:P10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7D749-33EE-43D4-A3E4-C5A1B8166E0E}">
  <dimension ref="A1"/>
  <sheetViews>
    <sheetView workbookViewId="0"/>
  </sheetViews>
  <sheetFormatPr defaultRowHeight="18" x14ac:dyDescent="0.5500000000000000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案件⑦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槙島千華</dc:creator>
  <cp:lastModifiedBy>槙島千華</cp:lastModifiedBy>
  <dcterms:created xsi:type="dcterms:W3CDTF">2022-08-12T05:02:36Z</dcterms:created>
  <dcterms:modified xsi:type="dcterms:W3CDTF">2022-08-12T05:04:10Z</dcterms:modified>
</cp:coreProperties>
</file>